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fe0d30f2e22ef18/Downloads/"/>
    </mc:Choice>
  </mc:AlternateContent>
  <xr:revisionPtr revIDLastSave="0" documentId="8_{2C745E58-92C1-4B6C-B6C0-BA54549322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RIA FASE 1" sheetId="1" r:id="rId1"/>
    <sheet name="CRIA OBJETOS" sheetId="2" r:id="rId2"/>
    <sheet name="CRIA FASE 2" sheetId="3" r:id="rId3"/>
    <sheet name="CRIA ROTAS" sheetId="4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A4" i="3"/>
  <c r="G51" i="2"/>
  <c r="G50" i="2"/>
  <c r="G49" i="2"/>
  <c r="G48" i="2"/>
  <c r="G47" i="2"/>
  <c r="G46" i="2"/>
  <c r="G45" i="2"/>
  <c r="G44" i="2"/>
  <c r="G43" i="2"/>
  <c r="G42" i="2"/>
  <c r="F42" i="2"/>
  <c r="G41" i="2"/>
  <c r="F41" i="2"/>
  <c r="G40" i="2"/>
  <c r="F40" i="2"/>
  <c r="G39" i="2"/>
  <c r="F39" i="2"/>
  <c r="G38" i="2"/>
  <c r="F38" i="2"/>
  <c r="G37" i="2"/>
  <c r="F37" i="2"/>
  <c r="G36" i="2"/>
  <c r="F36" i="2"/>
  <c r="G35" i="2"/>
  <c r="F35" i="2"/>
  <c r="G34" i="2"/>
  <c r="F34" i="2"/>
  <c r="G33" i="2"/>
  <c r="F33" i="2"/>
  <c r="G32" i="2"/>
  <c r="F32" i="2"/>
  <c r="G31" i="2"/>
  <c r="F31" i="2"/>
  <c r="G30" i="2"/>
  <c r="F30" i="2"/>
  <c r="G29" i="2"/>
  <c r="F29" i="2"/>
  <c r="G28" i="2"/>
  <c r="F28" i="2"/>
  <c r="G27" i="2"/>
  <c r="F27" i="2"/>
  <c r="G26" i="2"/>
  <c r="F26" i="2"/>
  <c r="G25" i="2"/>
  <c r="F25" i="2"/>
  <c r="G24" i="2"/>
  <c r="F24" i="2"/>
  <c r="G23" i="2"/>
  <c r="F23" i="2"/>
  <c r="G22" i="2"/>
  <c r="F22" i="2"/>
  <c r="G21" i="2"/>
  <c r="F21" i="2"/>
  <c r="G20" i="2"/>
  <c r="F20" i="2"/>
  <c r="G19" i="2"/>
  <c r="F19" i="2"/>
  <c r="G18" i="2"/>
  <c r="F18" i="2"/>
  <c r="G17" i="2"/>
  <c r="F17" i="2"/>
  <c r="G16" i="2"/>
  <c r="F16" i="2"/>
  <c r="G15" i="2"/>
  <c r="F15" i="2"/>
  <c r="G14" i="2"/>
  <c r="F14" i="2"/>
  <c r="G13" i="2"/>
  <c r="F13" i="2"/>
  <c r="G12" i="2"/>
  <c r="F12" i="2"/>
  <c r="G11" i="2"/>
  <c r="F11" i="2"/>
  <c r="G10" i="2"/>
  <c r="F10" i="2"/>
  <c r="G9" i="2"/>
  <c r="F9" i="2"/>
  <c r="G8" i="2"/>
  <c r="F8" i="2"/>
  <c r="G7" i="2"/>
  <c r="F7" i="2"/>
  <c r="G6" i="2"/>
  <c r="F6" i="2"/>
  <c r="I5" i="2"/>
  <c r="H5" i="2"/>
  <c r="G5" i="2"/>
  <c r="F5" i="2"/>
  <c r="G4" i="2"/>
  <c r="F4" i="2"/>
  <c r="I3" i="2"/>
  <c r="H3" i="2"/>
  <c r="G3" i="2"/>
  <c r="F3" i="2"/>
  <c r="I2" i="2"/>
  <c r="H2" i="2"/>
  <c r="G2" i="2"/>
  <c r="F2" i="2"/>
  <c r="B24" i="1"/>
  <c r="B23" i="1"/>
  <c r="B22" i="1"/>
  <c r="B21" i="1"/>
  <c r="B20" i="1"/>
  <c r="B19" i="1"/>
  <c r="B18" i="1"/>
  <c r="B17" i="1"/>
  <c r="B16" i="1"/>
  <c r="B15" i="1"/>
  <c r="B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Danilo Nogueira Ulbrecht</author>
    <author>gabriel</author>
  </authors>
  <commentList>
    <comment ref="B2" authorId="0" shapeId="0" xr:uid="{00000000-0006-0000-0100-000001000000}">
      <text>
        <r>
          <rPr>
            <sz val="9"/>
            <rFont val="Tahoma"/>
            <charset val="1"/>
          </rPr>
          <t>Inserir as redes com o CIDR
Exemplo: 192.168.0.0/24</t>
        </r>
      </text>
    </comment>
    <comment ref="H4" authorId="1" shapeId="0" xr:uid="{00000000-0006-0000-0100-000002000000}">
      <text>
        <r>
          <rPr>
            <sz val="9"/>
            <rFont val="Times New Roman"/>
          </rPr>
          <t>set member com os LOCALNETs da coluna F</t>
        </r>
      </text>
    </comment>
    <comment ref="I4" authorId="1" shapeId="0" xr:uid="{00000000-0006-0000-0100-000003000000}">
      <text>
        <r>
          <rPr>
            <sz val="9"/>
            <rFont val="Times New Roman"/>
          </rPr>
          <t>set member com os REMOTENETs da coluna G</t>
        </r>
      </text>
    </comment>
  </commentList>
</comments>
</file>

<file path=xl/sharedStrings.xml><?xml version="1.0" encoding="utf-8"?>
<sst xmlns="http://schemas.openxmlformats.org/spreadsheetml/2006/main" count="129" uniqueCount="92">
  <si>
    <t>Parâmetros</t>
  </si>
  <si>
    <t>Selecione ou preencha</t>
  </si>
  <si>
    <t>Name</t>
  </si>
  <si>
    <t>Interface binding</t>
  </si>
  <si>
    <t>ike-version</t>
  </si>
  <si>
    <t>remote-gw</t>
  </si>
  <si>
    <t>local-gw</t>
  </si>
  <si>
    <t>nattraversal</t>
  </si>
  <si>
    <t>keylife</t>
  </si>
  <si>
    <t>proposal</t>
  </si>
  <si>
    <t>psksecret</t>
  </si>
  <si>
    <t>dhgrp</t>
  </si>
  <si>
    <t>SCRIPT FASE 1</t>
  </si>
  <si>
    <t>portas</t>
  </si>
  <si>
    <t>ike</t>
  </si>
  <si>
    <t>nat_transversal</t>
  </si>
  <si>
    <t>grupo DH</t>
  </si>
  <si>
    <t>internal1</t>
  </si>
  <si>
    <t>enable</t>
  </si>
  <si>
    <t>des-md5</t>
  </si>
  <si>
    <t>internal2</t>
  </si>
  <si>
    <t>disable</t>
  </si>
  <si>
    <t>des-sha1</t>
  </si>
  <si>
    <t>internal3</t>
  </si>
  <si>
    <t>des-sha256</t>
  </si>
  <si>
    <t>internal4</t>
  </si>
  <si>
    <t>des-sha384</t>
  </si>
  <si>
    <t>internal5</t>
  </si>
  <si>
    <t>des-sha512</t>
  </si>
  <si>
    <t>internal6</t>
  </si>
  <si>
    <t>3des-md5</t>
  </si>
  <si>
    <t>internal7</t>
  </si>
  <si>
    <t>3des-sha1</t>
  </si>
  <si>
    <t>internal8</t>
  </si>
  <si>
    <t>3des-sha256</t>
  </si>
  <si>
    <t>internal9</t>
  </si>
  <si>
    <t>3des-sha384</t>
  </si>
  <si>
    <t>internal10</t>
  </si>
  <si>
    <t>3des-sha512</t>
  </si>
  <si>
    <t>internal11</t>
  </si>
  <si>
    <t>aes128-md5</t>
  </si>
  <si>
    <t>internal12</t>
  </si>
  <si>
    <t>aes128-sha1</t>
  </si>
  <si>
    <t>internal13</t>
  </si>
  <si>
    <t>aes128-sha256</t>
  </si>
  <si>
    <t>internal14</t>
  </si>
  <si>
    <t>aes128-sha384</t>
  </si>
  <si>
    <t>internal15</t>
  </si>
  <si>
    <t>aes128-sha512</t>
  </si>
  <si>
    <t>internal16</t>
  </si>
  <si>
    <t>aes192-md5</t>
  </si>
  <si>
    <t>port1</t>
  </si>
  <si>
    <t>aes192-sha1</t>
  </si>
  <si>
    <t>port2</t>
  </si>
  <si>
    <t>aes192-sha256</t>
  </si>
  <si>
    <t>port3</t>
  </si>
  <si>
    <t>aes192-sha384</t>
  </si>
  <si>
    <t>port4</t>
  </si>
  <si>
    <t>aes192-sha512</t>
  </si>
  <si>
    <t>port5</t>
  </si>
  <si>
    <t>aes256-md5</t>
  </si>
  <si>
    <t>port6</t>
  </si>
  <si>
    <t>aes256-sha1</t>
  </si>
  <si>
    <t>port7</t>
  </si>
  <si>
    <t>aes256-sha256</t>
  </si>
  <si>
    <t>port8</t>
  </si>
  <si>
    <t>aes256-sha384</t>
  </si>
  <si>
    <t>port9</t>
  </si>
  <si>
    <t>aes256-sha512</t>
  </si>
  <si>
    <t>port10</t>
  </si>
  <si>
    <t>port11</t>
  </si>
  <si>
    <t>port12</t>
  </si>
  <si>
    <t>port13</t>
  </si>
  <si>
    <t>port14</t>
  </si>
  <si>
    <t>port15</t>
  </si>
  <si>
    <t>port16</t>
  </si>
  <si>
    <t>wan1</t>
  </si>
  <si>
    <t>wan2</t>
  </si>
  <si>
    <t>dmz</t>
  </si>
  <si>
    <t>SCRIPT OBJETOS LOCAIS</t>
  </si>
  <si>
    <t>SCRIPT OBJETOS REMOTOS</t>
  </si>
  <si>
    <t>SCRIPT GRUPO LOCAL</t>
  </si>
  <si>
    <t>SCRIPT GRUPO REMOTO</t>
  </si>
  <si>
    <t>REDES LOCAIS</t>
  </si>
  <si>
    <t>REDES REMOTAS</t>
  </si>
  <si>
    <t>set member *****</t>
  </si>
  <si>
    <t>Keepalive</t>
  </si>
  <si>
    <t>PFS</t>
  </si>
  <si>
    <t>keylifeseconds</t>
  </si>
  <si>
    <t>Proposal</t>
  </si>
  <si>
    <t>SCRIPT</t>
  </si>
  <si>
    <t>keep_alive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</si>
</sst>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0000FF"/>
      <name val="Calibri"/>
      <scheme val="minor"/>
    </font>
    <font>
      <sz val="9"/>
      <name val="Tahoma"/>
      <charset val="1"/>
    </font>
    <font>
      <sz val="9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/>
    <xf numFmtId="0" fontId="1" fillId="2" borderId="1" xfId="0" applyFont="1" applyFill="1" applyBorder="1" applyAlignment="1">
      <alignment horizontal="center"/>
    </xf>
    <xf numFmtId="0" fontId="0" fillId="3" borderId="2" xfId="0" applyFill="1" applyBorder="1" applyAlignment="1"/>
    <xf numFmtId="0" fontId="0" fillId="3" borderId="3" xfId="0" applyFill="1" applyBorder="1" applyAlignment="1"/>
    <xf numFmtId="0" fontId="1" fillId="4" borderId="4" xfId="0" applyFont="1" applyFill="1" applyBorder="1" applyAlignment="1"/>
    <xf numFmtId="0" fontId="0" fillId="5" borderId="4" xfId="0" applyFill="1" applyBorder="1" applyAlignment="1"/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/>
    <xf numFmtId="0" fontId="1" fillId="0" borderId="0" xfId="0" applyFont="1" applyAlignment="1"/>
    <xf numFmtId="0" fontId="1" fillId="4" borderId="0" xfId="0" applyFont="1" applyFill="1" applyAlignment="1"/>
    <xf numFmtId="0" fontId="0" fillId="3" borderId="4" xfId="0" applyFill="1" applyBorder="1" applyAlignment="1" applyProtection="1">
      <protection locked="0"/>
    </xf>
    <xf numFmtId="0" fontId="1" fillId="2" borderId="2" xfId="0" applyFont="1" applyFill="1" applyBorder="1" applyAlignment="1"/>
    <xf numFmtId="0" fontId="1" fillId="2" borderId="5" xfId="0" applyFont="1" applyFill="1" applyBorder="1" applyAlignment="1"/>
    <xf numFmtId="0" fontId="0" fillId="3" borderId="2" xfId="0" applyFill="1" applyBorder="1" applyAlignment="1">
      <alignment wrapText="1"/>
    </xf>
    <xf numFmtId="0" fontId="1" fillId="4" borderId="4" xfId="0" applyFont="1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2" fillId="0" borderId="4" xfId="1" applyFont="1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4"/>
  <sheetViews>
    <sheetView tabSelected="1" workbookViewId="0">
      <selection activeCell="K22" sqref="K22"/>
    </sheetView>
  </sheetViews>
  <sheetFormatPr defaultRowHeight="15"/>
  <cols>
    <col min="1" max="1" width="16.28515625" bestFit="1" customWidth="1"/>
    <col min="2" max="2" width="21.5703125" bestFit="1" customWidth="1"/>
  </cols>
  <sheetData>
    <row r="1" spans="1:2">
      <c r="A1" s="15" t="s">
        <v>0</v>
      </c>
      <c r="B1" s="15" t="s">
        <v>1</v>
      </c>
    </row>
    <row r="2" spans="1:2">
      <c r="A2" s="16" t="s">
        <v>2</v>
      </c>
      <c r="B2" s="7"/>
    </row>
    <row r="3" spans="1:2">
      <c r="A3" s="16" t="s">
        <v>3</v>
      </c>
      <c r="B3" s="7"/>
    </row>
    <row r="4" spans="1:2">
      <c r="A4" s="16" t="s">
        <v>4</v>
      </c>
      <c r="B4" s="7"/>
    </row>
    <row r="5" spans="1:2">
      <c r="A5" s="16" t="s">
        <v>5</v>
      </c>
      <c r="B5" s="7"/>
    </row>
    <row r="6" spans="1:2">
      <c r="A6" s="16" t="s">
        <v>6</v>
      </c>
      <c r="B6" s="7"/>
    </row>
    <row r="7" spans="1:2">
      <c r="A7" s="16" t="s">
        <v>7</v>
      </c>
      <c r="B7" s="7"/>
    </row>
    <row r="8" spans="1:2">
      <c r="A8" s="16" t="s">
        <v>8</v>
      </c>
      <c r="B8" s="7"/>
    </row>
    <row r="9" spans="1:2">
      <c r="A9" s="16" t="s">
        <v>9</v>
      </c>
      <c r="B9" s="7"/>
    </row>
    <row r="10" spans="1:2">
      <c r="A10" s="16" t="s">
        <v>10</v>
      </c>
      <c r="B10" s="17"/>
    </row>
    <row r="11" spans="1:2">
      <c r="A11" s="16" t="s">
        <v>11</v>
      </c>
      <c r="B11" s="18"/>
    </row>
    <row r="12" spans="1:2">
      <c r="B12" s="2" t="s">
        <v>12</v>
      </c>
    </row>
    <row r="13" spans="1:2">
      <c r="B13" s="3" t="str">
        <f>IF(B2=""," ",CONCATENATE("config vpn ipsec phase1-interface"))</f>
        <v xml:space="preserve"> </v>
      </c>
    </row>
    <row r="14" spans="1:2">
      <c r="B14" s="3" t="str">
        <f>IF(B2=""," ",CONCATENATE("edit ",B2))</f>
        <v xml:space="preserve"> </v>
      </c>
    </row>
    <row r="15" spans="1:2">
      <c r="B15" s="3" t="str">
        <f>IF(B3=""," ",CONCATENATE("set interface ",B3))</f>
        <v xml:space="preserve"> </v>
      </c>
    </row>
    <row r="16" spans="1:2">
      <c r="B16" s="3" t="str">
        <f>IF(B4=""," ",CONCATENATE("set ike-version ",B4))</f>
        <v xml:space="preserve"> </v>
      </c>
    </row>
    <row r="17" spans="2:2">
      <c r="B17" s="3" t="str">
        <f>IF(B5=""," ",CONCATENATE("set remote-gw ",B5))</f>
        <v xml:space="preserve"> </v>
      </c>
    </row>
    <row r="18" spans="2:2">
      <c r="B18" s="3" t="str">
        <f>IF(B6=""," ",CONCATENATE("set local-gw ",B6))</f>
        <v xml:space="preserve"> </v>
      </c>
    </row>
    <row r="19" spans="2:2">
      <c r="B19" s="3" t="str">
        <f>IF(B7=""," ",CONCATENATE("set nattraversal ",B7))</f>
        <v xml:space="preserve"> </v>
      </c>
    </row>
    <row r="20" spans="2:2">
      <c r="B20" s="3" t="str">
        <f>IF(B8=""," ",CONCATENATE("set keylife ",B8))</f>
        <v xml:space="preserve"> </v>
      </c>
    </row>
    <row r="21" spans="2:2">
      <c r="B21" s="3" t="str">
        <f>IF(B9=""," ",CONCATENATE("set proposal ",B9))</f>
        <v xml:space="preserve"> </v>
      </c>
    </row>
    <row r="22" spans="2:2">
      <c r="B22" s="3" t="str">
        <f>IF(B10=""," ",CONCATENATE("set psksecret ",B10))</f>
        <v xml:space="preserve"> </v>
      </c>
    </row>
    <row r="23" spans="2:2">
      <c r="B23" s="3" t="str">
        <f>IF(B11=""," ",CONCATENATE("set dhgrp ",B11))</f>
        <v xml:space="preserve"> </v>
      </c>
    </row>
    <row r="24" spans="2:2">
      <c r="B24" s="8" t="str">
        <f>IF(B2=""," ",CONCATENATE("end"))</f>
        <v xml:space="preserve"> </v>
      </c>
    </row>
    <row r="115" spans="1:7">
      <c r="A115" s="9"/>
      <c r="B115" s="9"/>
      <c r="C115" s="9"/>
      <c r="D115" s="9"/>
      <c r="E115" s="9"/>
      <c r="F115" s="9"/>
      <c r="G115" s="9"/>
    </row>
    <row r="116" spans="1:7">
      <c r="A116" s="9"/>
      <c r="B116" s="9" t="s">
        <v>13</v>
      </c>
      <c r="C116" s="9" t="s">
        <v>14</v>
      </c>
      <c r="D116" s="9" t="s">
        <v>15</v>
      </c>
      <c r="E116" s="9" t="s">
        <v>16</v>
      </c>
      <c r="F116" s="9" t="s">
        <v>9</v>
      </c>
      <c r="G116" s="9"/>
    </row>
    <row r="117" spans="1:7">
      <c r="A117" s="9"/>
      <c r="B117" s="9" t="s">
        <v>17</v>
      </c>
      <c r="C117" s="9">
        <v>1</v>
      </c>
      <c r="D117" s="9" t="s">
        <v>18</v>
      </c>
      <c r="E117" s="9">
        <v>1</v>
      </c>
      <c r="F117" s="9" t="s">
        <v>19</v>
      </c>
      <c r="G117" s="9"/>
    </row>
    <row r="118" spans="1:7">
      <c r="A118" s="9"/>
      <c r="B118" s="9" t="s">
        <v>20</v>
      </c>
      <c r="C118" s="9">
        <v>2</v>
      </c>
      <c r="D118" s="9" t="s">
        <v>21</v>
      </c>
      <c r="E118" s="9">
        <v>2</v>
      </c>
      <c r="F118" s="9" t="s">
        <v>22</v>
      </c>
      <c r="G118" s="9"/>
    </row>
    <row r="119" spans="1:7">
      <c r="A119" s="9"/>
      <c r="B119" s="9" t="s">
        <v>23</v>
      </c>
      <c r="C119" s="9"/>
      <c r="D119" s="9"/>
      <c r="E119" s="9">
        <v>5</v>
      </c>
      <c r="F119" s="9" t="s">
        <v>24</v>
      </c>
      <c r="G119" s="9"/>
    </row>
    <row r="120" spans="1:7">
      <c r="A120" s="9"/>
      <c r="B120" s="9" t="s">
        <v>25</v>
      </c>
      <c r="C120" s="9"/>
      <c r="D120" s="9"/>
      <c r="E120" s="9">
        <v>14</v>
      </c>
      <c r="F120" s="9" t="s">
        <v>26</v>
      </c>
      <c r="G120" s="9"/>
    </row>
    <row r="121" spans="1:7">
      <c r="A121" s="9"/>
      <c r="B121" s="9" t="s">
        <v>27</v>
      </c>
      <c r="C121" s="9"/>
      <c r="D121" s="9"/>
      <c r="E121" s="9">
        <v>15</v>
      </c>
      <c r="F121" s="9" t="s">
        <v>28</v>
      </c>
      <c r="G121" s="9"/>
    </row>
    <row r="122" spans="1:7">
      <c r="A122" s="9"/>
      <c r="B122" s="9" t="s">
        <v>29</v>
      </c>
      <c r="C122" s="9"/>
      <c r="D122" s="9"/>
      <c r="E122" s="9">
        <v>16</v>
      </c>
      <c r="F122" s="9" t="s">
        <v>30</v>
      </c>
      <c r="G122" s="9"/>
    </row>
    <row r="123" spans="1:7">
      <c r="A123" s="9"/>
      <c r="B123" s="9" t="s">
        <v>31</v>
      </c>
      <c r="D123" s="9"/>
      <c r="E123" s="9">
        <v>17</v>
      </c>
      <c r="F123" s="9" t="s">
        <v>32</v>
      </c>
      <c r="G123" s="9"/>
    </row>
    <row r="124" spans="1:7">
      <c r="A124" s="9"/>
      <c r="B124" s="9" t="s">
        <v>33</v>
      </c>
      <c r="D124" s="9"/>
      <c r="E124" s="9">
        <v>18</v>
      </c>
      <c r="F124" s="9" t="s">
        <v>34</v>
      </c>
      <c r="G124" s="9"/>
    </row>
    <row r="125" spans="1:7">
      <c r="A125" s="9"/>
      <c r="B125" s="9" t="s">
        <v>35</v>
      </c>
      <c r="C125" s="9"/>
      <c r="D125" s="9"/>
      <c r="E125" s="9">
        <v>19</v>
      </c>
      <c r="F125" s="9" t="s">
        <v>36</v>
      </c>
      <c r="G125" s="9"/>
    </row>
    <row r="126" spans="1:7">
      <c r="A126" s="9"/>
      <c r="B126" s="9" t="s">
        <v>37</v>
      </c>
      <c r="C126" s="9"/>
      <c r="D126" s="9"/>
      <c r="E126" s="9">
        <v>20</v>
      </c>
      <c r="F126" s="9" t="s">
        <v>38</v>
      </c>
      <c r="G126" s="9"/>
    </row>
    <row r="127" spans="1:7">
      <c r="A127" s="9"/>
      <c r="B127" s="9" t="s">
        <v>39</v>
      </c>
      <c r="C127" s="9"/>
      <c r="D127" s="9"/>
      <c r="E127" s="9">
        <v>21</v>
      </c>
      <c r="F127" s="9" t="s">
        <v>40</v>
      </c>
      <c r="G127" s="9"/>
    </row>
    <row r="128" spans="1:7">
      <c r="A128" s="9"/>
      <c r="B128" s="9" t="s">
        <v>41</v>
      </c>
      <c r="C128" s="9"/>
      <c r="D128" s="9"/>
      <c r="E128" s="9"/>
      <c r="F128" s="9" t="s">
        <v>42</v>
      </c>
      <c r="G128" s="9"/>
    </row>
    <row r="129" spans="1:7">
      <c r="A129" s="9"/>
      <c r="B129" s="9" t="s">
        <v>43</v>
      </c>
      <c r="C129" s="9"/>
      <c r="D129" s="9"/>
      <c r="E129" s="9"/>
      <c r="F129" s="9" t="s">
        <v>44</v>
      </c>
      <c r="G129" s="9"/>
    </row>
    <row r="130" spans="1:7">
      <c r="A130" s="9"/>
      <c r="B130" s="9" t="s">
        <v>45</v>
      </c>
      <c r="C130" s="9"/>
      <c r="D130" s="9"/>
      <c r="E130" s="9"/>
      <c r="F130" s="9" t="s">
        <v>46</v>
      </c>
      <c r="G130" s="9"/>
    </row>
    <row r="131" spans="1:7">
      <c r="A131" s="9"/>
      <c r="B131" s="9" t="s">
        <v>47</v>
      </c>
      <c r="C131" s="9"/>
      <c r="D131" s="9"/>
      <c r="E131" s="9"/>
      <c r="F131" s="9" t="s">
        <v>48</v>
      </c>
      <c r="G131" s="9"/>
    </row>
    <row r="132" spans="1:7">
      <c r="A132" s="9"/>
      <c r="B132" s="9" t="s">
        <v>49</v>
      </c>
      <c r="C132" s="9"/>
      <c r="D132" s="9"/>
      <c r="E132" s="9"/>
      <c r="F132" s="9" t="s">
        <v>50</v>
      </c>
      <c r="G132" s="9"/>
    </row>
    <row r="133" spans="1:7">
      <c r="A133" s="9"/>
      <c r="B133" s="9" t="s">
        <v>51</v>
      </c>
      <c r="C133" s="9"/>
      <c r="D133" s="9"/>
      <c r="E133" s="9"/>
      <c r="F133" s="9" t="s">
        <v>52</v>
      </c>
      <c r="G133" s="9"/>
    </row>
    <row r="134" spans="1:7">
      <c r="A134" s="9"/>
      <c r="B134" s="9" t="s">
        <v>53</v>
      </c>
      <c r="C134" s="9"/>
      <c r="D134" s="9"/>
      <c r="E134" s="9"/>
      <c r="F134" s="9" t="s">
        <v>54</v>
      </c>
      <c r="G134" s="9"/>
    </row>
    <row r="135" spans="1:7">
      <c r="A135" s="9"/>
      <c r="B135" s="9" t="s">
        <v>55</v>
      </c>
      <c r="C135" s="9"/>
      <c r="D135" s="9"/>
      <c r="E135" s="9"/>
      <c r="F135" s="9" t="s">
        <v>56</v>
      </c>
      <c r="G135" s="9"/>
    </row>
    <row r="136" spans="1:7">
      <c r="A136" s="9"/>
      <c r="B136" s="9" t="s">
        <v>57</v>
      </c>
      <c r="C136" s="9"/>
      <c r="D136" s="9"/>
      <c r="E136" s="9"/>
      <c r="F136" s="9" t="s">
        <v>58</v>
      </c>
      <c r="G136" s="9"/>
    </row>
    <row r="137" spans="1:7">
      <c r="A137" s="9"/>
      <c r="B137" s="9" t="s">
        <v>59</v>
      </c>
      <c r="C137" s="9"/>
      <c r="D137" s="9"/>
      <c r="E137" s="9"/>
      <c r="F137" s="9" t="s">
        <v>60</v>
      </c>
      <c r="G137" s="9"/>
    </row>
    <row r="138" spans="1:7">
      <c r="A138" s="9"/>
      <c r="B138" s="9" t="s">
        <v>61</v>
      </c>
      <c r="C138" s="9"/>
      <c r="D138" s="9"/>
      <c r="E138" s="9"/>
      <c r="F138" s="9" t="s">
        <v>62</v>
      </c>
      <c r="G138" s="9"/>
    </row>
    <row r="139" spans="1:7">
      <c r="A139" s="9"/>
      <c r="B139" s="9" t="s">
        <v>63</v>
      </c>
      <c r="C139" s="9"/>
      <c r="D139" s="9"/>
      <c r="E139" s="9"/>
      <c r="F139" s="9" t="s">
        <v>64</v>
      </c>
      <c r="G139" s="9"/>
    </row>
    <row r="140" spans="1:7">
      <c r="A140" s="9"/>
      <c r="B140" s="9" t="s">
        <v>65</v>
      </c>
      <c r="C140" s="9"/>
      <c r="D140" s="9"/>
      <c r="E140" s="9"/>
      <c r="F140" s="9" t="s">
        <v>66</v>
      </c>
      <c r="G140" s="9"/>
    </row>
    <row r="141" spans="1:7">
      <c r="A141" s="9"/>
      <c r="B141" s="9" t="s">
        <v>67</v>
      </c>
      <c r="C141" s="9"/>
      <c r="D141" s="9"/>
      <c r="E141" s="9"/>
      <c r="F141" s="9" t="s">
        <v>68</v>
      </c>
      <c r="G141" s="9"/>
    </row>
    <row r="142" spans="1:7">
      <c r="A142" s="9"/>
      <c r="B142" s="9" t="s">
        <v>69</v>
      </c>
      <c r="C142" s="9"/>
      <c r="D142" s="9"/>
      <c r="E142" s="9"/>
      <c r="F142" s="9"/>
      <c r="G142" s="9"/>
    </row>
    <row r="143" spans="1:7">
      <c r="A143" s="9"/>
      <c r="B143" s="9" t="s">
        <v>70</v>
      </c>
      <c r="C143" s="9"/>
      <c r="D143" s="9"/>
      <c r="E143" s="9"/>
      <c r="F143" s="9"/>
      <c r="G143" s="9"/>
    </row>
    <row r="144" spans="1:7">
      <c r="A144" s="9"/>
      <c r="B144" s="9" t="s">
        <v>71</v>
      </c>
      <c r="C144" s="9"/>
      <c r="D144" s="9"/>
      <c r="E144" s="9"/>
      <c r="F144" s="9"/>
      <c r="G144" s="9"/>
    </row>
    <row r="145" spans="1:7">
      <c r="A145" s="9"/>
      <c r="B145" s="9" t="s">
        <v>72</v>
      </c>
      <c r="C145" s="9"/>
      <c r="D145" s="9"/>
      <c r="E145" s="9"/>
      <c r="F145" s="9"/>
      <c r="G145" s="9"/>
    </row>
    <row r="146" spans="1:7">
      <c r="A146" s="9"/>
      <c r="B146" s="9" t="s">
        <v>73</v>
      </c>
      <c r="C146" s="9"/>
      <c r="D146" s="9"/>
      <c r="E146" s="9"/>
      <c r="F146" s="9"/>
      <c r="G146" s="9"/>
    </row>
    <row r="147" spans="1:7">
      <c r="A147" s="9"/>
      <c r="B147" s="9" t="s">
        <v>74</v>
      </c>
      <c r="C147" s="9"/>
      <c r="D147" s="9"/>
      <c r="E147" s="9"/>
      <c r="F147" s="9"/>
      <c r="G147" s="9"/>
    </row>
    <row r="148" spans="1:7">
      <c r="A148" s="9"/>
      <c r="B148" s="9" t="s">
        <v>75</v>
      </c>
      <c r="C148" s="9"/>
      <c r="D148" s="9"/>
      <c r="E148" s="9"/>
      <c r="F148" s="9"/>
      <c r="G148" s="9"/>
    </row>
    <row r="149" spans="1:7">
      <c r="A149" s="9"/>
      <c r="B149" s="9" t="s">
        <v>76</v>
      </c>
      <c r="C149" s="9"/>
      <c r="D149" s="9"/>
      <c r="E149" s="9"/>
      <c r="F149" s="9"/>
      <c r="G149" s="9"/>
    </row>
    <row r="150" spans="1:7">
      <c r="A150" s="9"/>
      <c r="B150" s="9" t="s">
        <v>77</v>
      </c>
      <c r="C150" s="9"/>
      <c r="D150" s="9"/>
      <c r="E150" s="9"/>
      <c r="F150" s="9"/>
      <c r="G150" s="9"/>
    </row>
    <row r="151" spans="1:7">
      <c r="A151" s="9"/>
      <c r="B151" s="9" t="s">
        <v>78</v>
      </c>
      <c r="C151" s="9"/>
      <c r="D151" s="9"/>
      <c r="E151" s="9"/>
      <c r="F151" s="9"/>
      <c r="G151" s="9"/>
    </row>
    <row r="152" spans="1:7">
      <c r="A152" s="9"/>
      <c r="B152" s="9"/>
      <c r="C152" s="9"/>
      <c r="D152" s="9"/>
      <c r="E152" s="9"/>
      <c r="F152" s="9"/>
      <c r="G152" s="9"/>
    </row>
    <row r="153" spans="1:7">
      <c r="A153" s="9"/>
      <c r="B153" s="9"/>
      <c r="C153" s="9"/>
      <c r="D153" s="9"/>
      <c r="E153" s="9"/>
      <c r="F153" s="9"/>
      <c r="G153" s="9"/>
    </row>
    <row r="154" spans="1:7">
      <c r="A154" s="9"/>
      <c r="B154" s="9"/>
      <c r="C154" s="9"/>
      <c r="D154" s="9"/>
      <c r="E154" s="9"/>
      <c r="F154" s="9"/>
      <c r="G154" s="9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1"/>
  <sheetViews>
    <sheetView workbookViewId="0">
      <selection activeCell="A3" sqref="A3"/>
    </sheetView>
  </sheetViews>
  <sheetFormatPr defaultColWidth="9" defaultRowHeight="15"/>
  <cols>
    <col min="1" max="1" width="14.5703125" style="1" customWidth="1"/>
    <col min="2" max="2" width="16.140625" style="1" customWidth="1"/>
    <col min="3" max="5" width="9" style="1"/>
    <col min="6" max="6" width="22.28515625" style="1" customWidth="1"/>
    <col min="7" max="7" width="25" style="1" customWidth="1"/>
    <col min="8" max="8" width="20.28515625" style="1" customWidth="1"/>
    <col min="9" max="9" width="22.7109375" style="1" customWidth="1"/>
    <col min="10" max="16384" width="9" style="1"/>
  </cols>
  <sheetData>
    <row r="1" spans="1:9">
      <c r="F1" s="12" t="s">
        <v>79</v>
      </c>
      <c r="G1" s="12" t="s">
        <v>80</v>
      </c>
      <c r="H1" s="13" t="s">
        <v>81</v>
      </c>
      <c r="I1" s="13" t="s">
        <v>82</v>
      </c>
    </row>
    <row r="2" spans="1:9">
      <c r="A2" s="10" t="s">
        <v>83</v>
      </c>
      <c r="B2" s="10" t="s">
        <v>84</v>
      </c>
      <c r="F2" s="3" t="str">
        <f>IF(A3=""," ",CONCATENATE("config firewall address"))</f>
        <v xml:space="preserve"> </v>
      </c>
      <c r="G2" s="3" t="str">
        <f>IF(B3=""," ",CONCATENATE("config firewall address"))</f>
        <v xml:space="preserve"> </v>
      </c>
      <c r="H2" s="3" t="str">
        <f>IF(A3=""," ",CONCATENATE("config firewall addrgrp"))</f>
        <v xml:space="preserve"> </v>
      </c>
      <c r="I2" s="3" t="str">
        <f>IF(B3=""," ",CONCATENATE("config firewall addrgrp"))</f>
        <v xml:space="preserve"> </v>
      </c>
    </row>
    <row r="3" spans="1:9">
      <c r="A3" s="11"/>
      <c r="B3" s="11"/>
      <c r="F3" s="14" t="str">
        <f>IF(A3=""," ",CONCATENATE("edit LOCALNET_",A3))</f>
        <v xml:space="preserve"> </v>
      </c>
      <c r="G3" s="14" t="str">
        <f>IF(B3=""," ",CONCATENATE("edit REMOTENET_",B3))</f>
        <v xml:space="preserve"> </v>
      </c>
      <c r="H3" s="3" t="str">
        <f>IF(A3=""," ",CONCATENATE("edit Local_proxy_id_",'CRIA FASE 1'!B2))</f>
        <v xml:space="preserve"> </v>
      </c>
      <c r="I3" s="3" t="str">
        <f>IF(B3=""," ",CONCATENATE("edit Remote_proxy_id_",'CRIA FASE 1'!B2))</f>
        <v xml:space="preserve"> </v>
      </c>
    </row>
    <row r="4" spans="1:9">
      <c r="A4" s="11"/>
      <c r="B4" s="11"/>
      <c r="F4" s="3" t="str">
        <f>IF(A3=""," ",CONCATENATE("set subnet ",A3))</f>
        <v xml:space="preserve"> </v>
      </c>
      <c r="G4" s="3" t="str">
        <f>IF(B3=""," ",CONCATENATE("set associated-interface ",'CRIA FASE 1'!B2))</f>
        <v xml:space="preserve"> </v>
      </c>
      <c r="H4" s="14" t="s">
        <v>85</v>
      </c>
      <c r="I4" s="14" t="s">
        <v>85</v>
      </c>
    </row>
    <row r="5" spans="1:9">
      <c r="A5" s="11"/>
      <c r="B5" s="11"/>
      <c r="F5" s="3" t="str">
        <f>IF(A3=""," ",CONCATENATE("end"))</f>
        <v xml:space="preserve"> </v>
      </c>
      <c r="G5" s="3" t="str">
        <f>IF(B3=""," ",CONCATENATE("set subnet ",B3))</f>
        <v xml:space="preserve"> </v>
      </c>
      <c r="H5" s="3" t="str">
        <f>IF(A3=""," ",CONCATENATE("end"))</f>
        <v xml:space="preserve"> </v>
      </c>
      <c r="I5" s="3" t="str">
        <f>IF(B3=""," ",CONCATENATE("end"))</f>
        <v xml:space="preserve"> </v>
      </c>
    </row>
    <row r="6" spans="1:9">
      <c r="A6" s="11"/>
      <c r="B6" s="11"/>
      <c r="F6" s="3" t="str">
        <f>IF(A4=""," ",CONCATENATE("config firewall address"))</f>
        <v xml:space="preserve"> </v>
      </c>
      <c r="G6" s="3" t="str">
        <f>IF(B3=""," ",CONCATENATE("end"))</f>
        <v xml:space="preserve"> </v>
      </c>
      <c r="H6" s="3"/>
      <c r="I6" s="3"/>
    </row>
    <row r="7" spans="1:9">
      <c r="A7" s="11"/>
      <c r="B7" s="11"/>
      <c r="F7" s="14" t="str">
        <f>IF(A4=""," ",CONCATENATE("edit LOCALNET_",A4))</f>
        <v xml:space="preserve"> </v>
      </c>
      <c r="G7" s="3" t="str">
        <f>IF(B4=""," ",CONCATENATE("config firewall address"))</f>
        <v xml:space="preserve"> </v>
      </c>
      <c r="H7" s="3"/>
      <c r="I7" s="3"/>
    </row>
    <row r="8" spans="1:9">
      <c r="A8" s="11"/>
      <c r="B8" s="11"/>
      <c r="F8" s="3" t="str">
        <f>IF(A4=""," ",CONCATENATE("set subnet ",A4))</f>
        <v xml:space="preserve"> </v>
      </c>
      <c r="G8" s="14" t="str">
        <f>IF(B4=""," ",CONCATENATE("edit REMOTENET_",B4))</f>
        <v xml:space="preserve"> </v>
      </c>
      <c r="H8" s="3"/>
      <c r="I8" s="3"/>
    </row>
    <row r="9" spans="1:9">
      <c r="A9" s="11"/>
      <c r="B9" s="11"/>
      <c r="F9" s="3" t="str">
        <f>IF(A4=""," ",CONCATENATE("end"))</f>
        <v xml:space="preserve"> </v>
      </c>
      <c r="G9" s="3" t="str">
        <f>IF(B4=""," ",CONCATENATE("set associated-interface ",'CRIA FASE 1'!B2))</f>
        <v xml:space="preserve"> </v>
      </c>
      <c r="H9" s="3"/>
      <c r="I9" s="3"/>
    </row>
    <row r="10" spans="1:9">
      <c r="A10" s="11"/>
      <c r="B10" s="11"/>
      <c r="F10" s="3" t="str">
        <f>IF(A5=""," ",CONCATENATE("config firewall address"))</f>
        <v xml:space="preserve"> </v>
      </c>
      <c r="G10" s="3" t="str">
        <f>IF(B4=""," ",CONCATENATE("set subnet ",B4))</f>
        <v xml:space="preserve"> </v>
      </c>
      <c r="H10" s="3"/>
      <c r="I10" s="3"/>
    </row>
    <row r="11" spans="1:9">
      <c r="A11" s="11"/>
      <c r="B11" s="11"/>
      <c r="F11" s="14" t="str">
        <f>IF(A5=""," ",CONCATENATE("edit LOCALNET_",A5))</f>
        <v xml:space="preserve"> </v>
      </c>
      <c r="G11" s="3" t="str">
        <f>IF(B4=""," ",CONCATENATE("end"))</f>
        <v xml:space="preserve"> </v>
      </c>
      <c r="H11" s="3"/>
      <c r="I11" s="3"/>
    </row>
    <row r="12" spans="1:9">
      <c r="A12" s="11"/>
      <c r="B12" s="11"/>
      <c r="F12" s="3" t="str">
        <f>IF(A5=""," ",CONCATENATE("set subnet ",A5))</f>
        <v xml:space="preserve"> </v>
      </c>
      <c r="G12" s="3" t="str">
        <f>IF(B5=""," ",CONCATENATE("config firewall address"))</f>
        <v xml:space="preserve"> </v>
      </c>
      <c r="H12" s="3"/>
      <c r="I12" s="3"/>
    </row>
    <row r="13" spans="1:9">
      <c r="F13" s="3" t="str">
        <f>IF(A5=""," ",CONCATENATE("end"))</f>
        <v xml:space="preserve"> </v>
      </c>
      <c r="G13" s="14" t="str">
        <f>IF(B5=""," ",CONCATENATE("edit REMOTENET_",B5))</f>
        <v xml:space="preserve"> </v>
      </c>
      <c r="H13" s="3"/>
      <c r="I13" s="3"/>
    </row>
    <row r="14" spans="1:9">
      <c r="F14" s="3" t="str">
        <f>IF(A6=""," ",CONCATENATE("config firewall address"))</f>
        <v xml:space="preserve"> </v>
      </c>
      <c r="G14" s="3" t="str">
        <f>IF(B5=""," ",CONCATENATE("set associated-interface ",'CRIA FASE 1'!B2))</f>
        <v xml:space="preserve"> </v>
      </c>
      <c r="H14" s="3"/>
      <c r="I14" s="3"/>
    </row>
    <row r="15" spans="1:9">
      <c r="F15" s="14" t="str">
        <f>IF(A6=""," ",CONCATENATE("edit LOCALNET_",A6))</f>
        <v xml:space="preserve"> </v>
      </c>
      <c r="G15" s="3" t="str">
        <f>IF(B5=""," ",CONCATENATE("set subnet ",B5))</f>
        <v xml:space="preserve"> </v>
      </c>
      <c r="H15" s="3"/>
      <c r="I15" s="3"/>
    </row>
    <row r="16" spans="1:9">
      <c r="F16" s="3" t="str">
        <f>IF(A6=""," ",CONCATENATE("set subnet ",A6))</f>
        <v xml:space="preserve"> </v>
      </c>
      <c r="G16" s="3" t="str">
        <f>IF(B5=""," ",CONCATENATE("end"))</f>
        <v xml:space="preserve"> </v>
      </c>
      <c r="H16" s="3"/>
      <c r="I16" s="3"/>
    </row>
    <row r="17" spans="6:9">
      <c r="F17" s="3" t="str">
        <f>IF(A6=""," ",CONCATENATE("end"))</f>
        <v xml:space="preserve"> </v>
      </c>
      <c r="G17" s="3" t="str">
        <f>IF(B6=""," ",CONCATENATE("config firewall address"))</f>
        <v xml:space="preserve"> </v>
      </c>
      <c r="H17" s="3"/>
      <c r="I17" s="3"/>
    </row>
    <row r="18" spans="6:9">
      <c r="F18" s="3" t="str">
        <f>IF(A7=""," ",CONCATENATE("config firewall address"))</f>
        <v xml:space="preserve"> </v>
      </c>
      <c r="G18" s="14" t="str">
        <f>IF(B6=""," ",CONCATENATE("edit REMOTENET_",B6))</f>
        <v xml:space="preserve"> </v>
      </c>
      <c r="H18" s="3"/>
      <c r="I18" s="3"/>
    </row>
    <row r="19" spans="6:9">
      <c r="F19" s="14" t="str">
        <f>IF(A7=""," ",CONCATENATE("edit LOCALNET_",A7))</f>
        <v xml:space="preserve"> </v>
      </c>
      <c r="G19" s="3" t="str">
        <f>IF(B6=""," ",CONCATENATE("set associated-interface ",'CRIA FASE 1'!B2))</f>
        <v xml:space="preserve"> </v>
      </c>
      <c r="H19" s="3"/>
      <c r="I19" s="3"/>
    </row>
    <row r="20" spans="6:9">
      <c r="F20" s="3" t="str">
        <f>IF(A7=""," ",CONCATENATE("set subnet ",A7))</f>
        <v xml:space="preserve"> </v>
      </c>
      <c r="G20" s="3" t="str">
        <f>IF(B6=""," ",CONCATENATE("set subnet ",B6))</f>
        <v xml:space="preserve"> </v>
      </c>
      <c r="H20" s="3"/>
      <c r="I20" s="3"/>
    </row>
    <row r="21" spans="6:9">
      <c r="F21" s="3" t="str">
        <f>IF(A7=""," ",CONCATENATE("end"))</f>
        <v xml:space="preserve"> </v>
      </c>
      <c r="G21" s="3" t="str">
        <f>IF(B6=""," ",CONCATENATE("end"))</f>
        <v xml:space="preserve"> </v>
      </c>
      <c r="H21" s="3"/>
      <c r="I21" s="3"/>
    </row>
    <row r="22" spans="6:9">
      <c r="F22" s="3" t="str">
        <f>IF(A8=""," ",CONCATENATE("config firewall address"))</f>
        <v xml:space="preserve"> </v>
      </c>
      <c r="G22" s="3" t="str">
        <f>IF(B7=""," ",CONCATENATE("config firewall address"))</f>
        <v xml:space="preserve"> </v>
      </c>
      <c r="H22" s="3"/>
      <c r="I22" s="3"/>
    </row>
    <row r="23" spans="6:9">
      <c r="F23" s="14" t="str">
        <f>IF(A8=""," ",CONCATENATE("edit LOCALNET_",A8))</f>
        <v xml:space="preserve"> </v>
      </c>
      <c r="G23" s="14" t="str">
        <f>IF(B7=""," ",CONCATENATE("edit REMOTENET_",B7))</f>
        <v xml:space="preserve"> </v>
      </c>
      <c r="H23" s="3"/>
      <c r="I23" s="3"/>
    </row>
    <row r="24" spans="6:9">
      <c r="F24" s="3" t="str">
        <f>IF(A8=""," ",CONCATENATE("set subnet ",A8))</f>
        <v xml:space="preserve"> </v>
      </c>
      <c r="G24" s="3" t="str">
        <f>IF(B7=""," ",CONCATENATE("set associated-interface ",'CRIA FASE 1'!B2))</f>
        <v xml:space="preserve"> </v>
      </c>
      <c r="H24" s="3"/>
      <c r="I24" s="3"/>
    </row>
    <row r="25" spans="6:9">
      <c r="F25" s="3" t="str">
        <f>IF(A8=""," ",CONCATENATE("end"))</f>
        <v xml:space="preserve"> </v>
      </c>
      <c r="G25" s="3" t="str">
        <f>IF(B7=""," ",CONCATENATE("set subnet ",B7))</f>
        <v xml:space="preserve"> </v>
      </c>
      <c r="H25" s="3"/>
      <c r="I25" s="3"/>
    </row>
    <row r="26" spans="6:9">
      <c r="F26" s="3" t="str">
        <f>IF(A9=""," ",CONCATENATE("config firewall address"))</f>
        <v xml:space="preserve"> </v>
      </c>
      <c r="G26" s="3" t="str">
        <f>IF(B7=""," ",CONCATENATE("end"))</f>
        <v xml:space="preserve"> </v>
      </c>
      <c r="H26" s="3"/>
      <c r="I26" s="3"/>
    </row>
    <row r="27" spans="6:9">
      <c r="F27" s="14" t="str">
        <f>IF(A9=""," ",CONCATENATE("edit LOCALNET_",A9))</f>
        <v xml:space="preserve"> </v>
      </c>
      <c r="G27" s="3" t="str">
        <f>IF(B8=""," ",CONCATENATE("config firewall address"))</f>
        <v xml:space="preserve"> </v>
      </c>
      <c r="H27" s="3"/>
      <c r="I27" s="3"/>
    </row>
    <row r="28" spans="6:9">
      <c r="F28" s="3" t="str">
        <f>IF(A9=""," ",CONCATENATE("set subnet ",A9))</f>
        <v xml:space="preserve"> </v>
      </c>
      <c r="G28" s="14" t="str">
        <f>IF(B8=""," ",CONCATENATE("edit REMOTENET_",B8))</f>
        <v xml:space="preserve"> </v>
      </c>
      <c r="H28" s="3"/>
      <c r="I28" s="3"/>
    </row>
    <row r="29" spans="6:9">
      <c r="F29" s="3" t="str">
        <f>IF(A9=""," ",CONCATENATE("end"))</f>
        <v xml:space="preserve"> </v>
      </c>
      <c r="G29" s="3" t="str">
        <f>IF(B8=""," ",CONCATENATE("set associated-interface ",'CRIA FASE 1'!B2))</f>
        <v xml:space="preserve"> </v>
      </c>
      <c r="H29" s="3"/>
      <c r="I29" s="3"/>
    </row>
    <row r="30" spans="6:9">
      <c r="F30" s="3" t="str">
        <f>IF(A10=""," ",CONCATENATE("config firewall address"))</f>
        <v xml:space="preserve"> </v>
      </c>
      <c r="G30" s="3" t="str">
        <f>IF(B8=""," ",CONCATENATE("set subnet ",B8))</f>
        <v xml:space="preserve"> </v>
      </c>
      <c r="H30" s="3"/>
      <c r="I30" s="3"/>
    </row>
    <row r="31" spans="6:9">
      <c r="F31" s="14" t="str">
        <f>IF(A10=""," ",CONCATENATE("edit LOCALNET_",A10))</f>
        <v xml:space="preserve"> </v>
      </c>
      <c r="G31" s="3" t="str">
        <f>IF(B8=""," ",CONCATENATE("end"))</f>
        <v xml:space="preserve"> </v>
      </c>
      <c r="H31" s="3"/>
      <c r="I31" s="3"/>
    </row>
    <row r="32" spans="6:9">
      <c r="F32" s="3" t="str">
        <f>IF(A10=""," ",CONCATENATE("set associated-interface any"))</f>
        <v xml:space="preserve"> </v>
      </c>
      <c r="G32" s="3" t="str">
        <f>IF(B9=""," ",CONCATENATE("config firewall address"))</f>
        <v xml:space="preserve"> </v>
      </c>
      <c r="H32" s="3"/>
      <c r="I32" s="3"/>
    </row>
    <row r="33" spans="6:9">
      <c r="F33" s="3" t="str">
        <f>IF(A10=""," ",CONCATENATE("set subnet ",A10))</f>
        <v xml:space="preserve"> </v>
      </c>
      <c r="G33" s="14" t="str">
        <f>IF(B9=""," ",CONCATENATE("edit REMOTENET_",B9))</f>
        <v xml:space="preserve"> </v>
      </c>
      <c r="H33" s="3"/>
      <c r="I33" s="3"/>
    </row>
    <row r="34" spans="6:9">
      <c r="F34" s="3" t="str">
        <f>IF(A10=""," ",CONCATENATE("end"))</f>
        <v xml:space="preserve"> </v>
      </c>
      <c r="G34" s="3" t="str">
        <f>IF(B9=""," ",CONCATENATE("set associated-interface ",'CRIA FASE 1'!B2))</f>
        <v xml:space="preserve"> </v>
      </c>
      <c r="H34" s="3"/>
      <c r="I34" s="3"/>
    </row>
    <row r="35" spans="6:9">
      <c r="F35" s="3" t="str">
        <f>IF(A11=""," ",CONCATENATE("config firewall address"))</f>
        <v xml:space="preserve"> </v>
      </c>
      <c r="G35" s="3" t="str">
        <f>IF(B9=""," ",CONCATENATE("set subnet ",B9))</f>
        <v xml:space="preserve"> </v>
      </c>
      <c r="H35" s="3"/>
      <c r="I35" s="3"/>
    </row>
    <row r="36" spans="6:9">
      <c r="F36" s="14" t="str">
        <f>IF(A11=""," ",CONCATENATE("edit LOCALNET_",A11))</f>
        <v xml:space="preserve"> </v>
      </c>
      <c r="G36" s="3" t="str">
        <f>IF(B9=""," ",CONCATENATE("end"))</f>
        <v xml:space="preserve"> </v>
      </c>
      <c r="H36" s="3"/>
      <c r="I36" s="3"/>
    </row>
    <row r="37" spans="6:9">
      <c r="F37" s="3" t="str">
        <f>IF(A11=""," ",CONCATENATE("set subnet ",A11))</f>
        <v xml:space="preserve"> </v>
      </c>
      <c r="G37" s="3" t="str">
        <f>IF(B10=""," ",CONCATENATE("config firewall address"))</f>
        <v xml:space="preserve"> </v>
      </c>
      <c r="H37" s="3"/>
      <c r="I37" s="3"/>
    </row>
    <row r="38" spans="6:9">
      <c r="F38" s="3" t="str">
        <f>IF(A11=""," ",CONCATENATE("end"))</f>
        <v xml:space="preserve"> </v>
      </c>
      <c r="G38" s="14" t="str">
        <f>IF(B10=""," ",CONCATENATE("edit REMOTENET_",B10))</f>
        <v xml:space="preserve"> </v>
      </c>
      <c r="H38" s="3"/>
      <c r="I38" s="3"/>
    </row>
    <row r="39" spans="6:9">
      <c r="F39" s="3" t="str">
        <f>IF(A12=""," ",CONCATENATE("config firewall address"))</f>
        <v xml:space="preserve"> </v>
      </c>
      <c r="G39" s="3" t="str">
        <f>IF(B10=""," ",CONCATENATE("set associated-interface ",'CRIA FASE 1'!B2))</f>
        <v xml:space="preserve"> </v>
      </c>
      <c r="H39" s="3"/>
      <c r="I39" s="3"/>
    </row>
    <row r="40" spans="6:9">
      <c r="F40" s="14" t="str">
        <f>IF(A12=""," ",CONCATENATE("edit LOCALNET_",A12))</f>
        <v xml:space="preserve"> </v>
      </c>
      <c r="G40" s="3" t="str">
        <f>IF(B10=""," ",CONCATENATE("set subnet ",B10))</f>
        <v xml:space="preserve"> </v>
      </c>
      <c r="H40" s="3"/>
      <c r="I40" s="3"/>
    </row>
    <row r="41" spans="6:9">
      <c r="F41" s="3" t="str">
        <f>IF(A12=""," ",CONCATENATE("set subnet ",A12))</f>
        <v xml:space="preserve"> </v>
      </c>
      <c r="G41" s="3" t="str">
        <f>IF(B10=""," ",CONCATENATE("end"))</f>
        <v xml:space="preserve"> </v>
      </c>
      <c r="H41" s="3"/>
      <c r="I41" s="3"/>
    </row>
    <row r="42" spans="6:9">
      <c r="F42" s="4" t="str">
        <f>IF(A12=""," ",CONCATENATE("end"))</f>
        <v xml:space="preserve"> </v>
      </c>
      <c r="G42" s="3" t="str">
        <f>IF(B11=""," ",CONCATENATE("config firewall address"))</f>
        <v xml:space="preserve"> </v>
      </c>
      <c r="H42" s="3"/>
      <c r="I42" s="3"/>
    </row>
    <row r="43" spans="6:9">
      <c r="G43" s="14" t="str">
        <f>IF(B11=""," ",CONCATENATE("edit REMOTENET_",B11))</f>
        <v xml:space="preserve"> </v>
      </c>
      <c r="H43" s="3"/>
      <c r="I43" s="3"/>
    </row>
    <row r="44" spans="6:9">
      <c r="G44" s="3" t="str">
        <f>IF(B11=""," ",CONCATENATE("set associated-interface ",'CRIA FASE 1'!B2))</f>
        <v xml:space="preserve"> </v>
      </c>
      <c r="H44" s="3"/>
      <c r="I44" s="3"/>
    </row>
    <row r="45" spans="6:9">
      <c r="G45" s="3" t="str">
        <f>IF(B11=""," ",CONCATENATE("set subnet ",B11))</f>
        <v xml:space="preserve"> </v>
      </c>
      <c r="H45" s="3"/>
      <c r="I45" s="3"/>
    </row>
    <row r="46" spans="6:9">
      <c r="G46" s="3" t="str">
        <f>IF(B11=""," ",CONCATENATE("end"))</f>
        <v xml:space="preserve"> </v>
      </c>
      <c r="H46" s="4"/>
      <c r="I46" s="4"/>
    </row>
    <row r="47" spans="6:9">
      <c r="G47" s="3" t="str">
        <f>IF(B12=""," ",CONCATENATE("config firewall address"))</f>
        <v xml:space="preserve"> </v>
      </c>
    </row>
    <row r="48" spans="6:9">
      <c r="G48" s="14" t="str">
        <f>IF(B12=""," ",CONCATENATE("edit REMOTENET_",B12))</f>
        <v xml:space="preserve"> </v>
      </c>
    </row>
    <row r="49" spans="7:7">
      <c r="G49" s="3" t="str">
        <f>IF(B12=""," ",CONCATENATE("set associated-interface ",'CRIA FASE 1'!B2))</f>
        <v xml:space="preserve"> </v>
      </c>
    </row>
    <row r="50" spans="7:7">
      <c r="G50" s="3" t="str">
        <f>IF(B12=""," ",CONCATENATE("set subnet ",B12))</f>
        <v xml:space="preserve"> </v>
      </c>
    </row>
    <row r="51" spans="7:7">
      <c r="G51" s="4" t="str">
        <f>IF(B12=""," ",CONCATENATE("end"))</f>
        <v xml:space="preserve"> </v>
      </c>
    </row>
  </sheetData>
  <pageMargins left="0.75" right="0.75" top="1" bottom="1" header="0.51180555555555596" footer="0.51180555555555596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"/>
  <sheetViews>
    <sheetView workbookViewId="0"/>
  </sheetViews>
  <sheetFormatPr defaultRowHeight="15"/>
  <sheetData>
    <row r="1" spans="1:6">
      <c r="A1" s="5" t="s">
        <v>0</v>
      </c>
      <c r="B1" s="5" t="s">
        <v>1</v>
      </c>
    </row>
    <row r="2" spans="1:6">
      <c r="A2" s="6" t="s">
        <v>86</v>
      </c>
      <c r="B2" s="7"/>
    </row>
    <row r="3" spans="1:6">
      <c r="A3" s="6" t="s">
        <v>87</v>
      </c>
      <c r="B3" s="7"/>
    </row>
    <row r="4" spans="1:6">
      <c r="A4" s="6" t="str">
        <f>IF(B3="disable"," ",CONCATENATE("DHGRP"))</f>
        <v>DHGRP</v>
      </c>
      <c r="B4" s="7"/>
    </row>
    <row r="5" spans="1:6">
      <c r="A5" s="6" t="s">
        <v>88</v>
      </c>
      <c r="B5" s="7"/>
    </row>
    <row r="6" spans="1:6">
      <c r="A6" s="6" t="s">
        <v>89</v>
      </c>
      <c r="B6" s="7"/>
    </row>
    <row r="10" spans="1:6">
      <c r="F10" s="2" t="s">
        <v>90</v>
      </c>
    </row>
    <row r="11" spans="1:6">
      <c r="F11" s="3" t="str">
        <f>IF(B2=""," ","config vpn ipsec phase2-interface")</f>
        <v xml:space="preserve"> </v>
      </c>
    </row>
    <row r="12" spans="1:6">
      <c r="F12" s="3" t="str">
        <f>IF(B2=""," ",CONCATENATE("edit ",'CRIA FASE 1'!B2,"_P2_1"))</f>
        <v xml:space="preserve"> </v>
      </c>
    </row>
    <row r="13" spans="1:6">
      <c r="F13" s="3" t="str">
        <f>IF(B2=""," ",CONCATENATE("set phase1name ",'CRIA FASE 1'!B2,""))</f>
        <v xml:space="preserve"> </v>
      </c>
    </row>
    <row r="14" spans="1:6">
      <c r="F14" s="3" t="str">
        <f>IF(B2=""," ",CONCATENATE("set keepalive ",B2,""))</f>
        <v xml:space="preserve"> </v>
      </c>
    </row>
    <row r="15" spans="1:6">
      <c r="F15" s="3" t="str">
        <f>IF(B3=""," ",CONCATENATE("set pfs ",B3,""))</f>
        <v xml:space="preserve"> </v>
      </c>
    </row>
    <row r="16" spans="1:6">
      <c r="F16" s="3" t="str">
        <f>IF(B3="disable"," ",CONCATENATE("set dhgrp ",B4,""))</f>
        <v xml:space="preserve">set dhgrp </v>
      </c>
    </row>
    <row r="17" spans="6:6">
      <c r="F17" s="3" t="str">
        <f>IF(B5=""," ",CONCATENATE("set keylifeseconds ",B5,""))</f>
        <v xml:space="preserve"> </v>
      </c>
    </row>
    <row r="18" spans="6:6">
      <c r="F18" s="3" t="str">
        <f>IF(B2=""," ",CONCATENATE("set src-addr-type name"))</f>
        <v xml:space="preserve"> </v>
      </c>
    </row>
    <row r="19" spans="6:6">
      <c r="F19" s="3" t="str">
        <f>IF(B2=""," ",CONCATENATE("set dst-addr-type name"))</f>
        <v xml:space="preserve"> </v>
      </c>
    </row>
    <row r="20" spans="6:6">
      <c r="F20" s="3" t="str">
        <f>IF(B2=""," ",CONCATENATE("set proposal ",B6,""))</f>
        <v xml:space="preserve"> </v>
      </c>
    </row>
    <row r="21" spans="6:6">
      <c r="F21" s="3" t="str">
        <f>IF(B2=""," ",CONCATENATE("set src-name Local_proxy_id_",'CRIA FASE 1'!B2,""))</f>
        <v xml:space="preserve"> </v>
      </c>
    </row>
    <row r="22" spans="6:6">
      <c r="F22" s="3" t="str">
        <f>IF(B2=""," ",CONCATENATE("set dst-name Remote_proxy_id_",'CRIA FASE 1'!B2,""))</f>
        <v xml:space="preserve"> </v>
      </c>
    </row>
    <row r="23" spans="6:6">
      <c r="F23" s="3" t="str">
        <f>IF(B2=""," ",CONCATENATE("end"))</f>
        <v xml:space="preserve"> </v>
      </c>
    </row>
    <row r="24" spans="6:6">
      <c r="F24" s="8"/>
    </row>
    <row r="72" spans="1:6">
      <c r="A72" s="9"/>
      <c r="B72" s="9"/>
      <c r="C72" s="9"/>
      <c r="D72" s="9"/>
      <c r="E72" s="9"/>
      <c r="F72" s="9"/>
    </row>
    <row r="73" spans="1:6">
      <c r="A73" s="9"/>
      <c r="B73" s="9" t="s">
        <v>91</v>
      </c>
      <c r="C73" s="9" t="s">
        <v>87</v>
      </c>
      <c r="D73" s="9" t="s">
        <v>16</v>
      </c>
      <c r="E73" s="9" t="s">
        <v>9</v>
      </c>
      <c r="F73" s="9"/>
    </row>
    <row r="74" spans="1:6">
      <c r="A74" s="9"/>
      <c r="B74" s="9" t="s">
        <v>18</v>
      </c>
      <c r="C74" s="9" t="s">
        <v>18</v>
      </c>
      <c r="D74" s="9">
        <v>1</v>
      </c>
      <c r="E74" s="9" t="s">
        <v>19</v>
      </c>
      <c r="F74" s="9"/>
    </row>
    <row r="75" spans="1:6">
      <c r="A75" s="9"/>
      <c r="B75" s="9" t="s">
        <v>21</v>
      </c>
      <c r="C75" s="9" t="s">
        <v>21</v>
      </c>
      <c r="D75" s="9">
        <v>2</v>
      </c>
      <c r="E75" s="9" t="s">
        <v>22</v>
      </c>
      <c r="F75" s="9"/>
    </row>
    <row r="76" spans="1:6">
      <c r="A76" s="9"/>
      <c r="B76" s="9"/>
      <c r="C76" s="9"/>
      <c r="D76" s="9">
        <v>5</v>
      </c>
      <c r="E76" s="9" t="s">
        <v>24</v>
      </c>
      <c r="F76" s="9"/>
    </row>
    <row r="77" spans="1:6">
      <c r="A77" s="9"/>
      <c r="B77" s="9"/>
      <c r="C77" s="9"/>
      <c r="D77" s="9">
        <v>14</v>
      </c>
      <c r="E77" s="9" t="s">
        <v>26</v>
      </c>
      <c r="F77" s="9"/>
    </row>
    <row r="78" spans="1:6">
      <c r="A78" s="9"/>
      <c r="B78" s="9"/>
      <c r="C78" s="9"/>
      <c r="D78" s="9">
        <v>15</v>
      </c>
      <c r="E78" s="9" t="s">
        <v>28</v>
      </c>
      <c r="F78" s="9"/>
    </row>
    <row r="79" spans="1:6">
      <c r="A79" s="9"/>
      <c r="B79" s="9"/>
      <c r="C79" s="9"/>
      <c r="D79" s="9">
        <v>16</v>
      </c>
      <c r="E79" s="9" t="s">
        <v>30</v>
      </c>
      <c r="F79" s="9"/>
    </row>
    <row r="80" spans="1:6">
      <c r="A80" s="9"/>
      <c r="B80" s="9"/>
      <c r="C80" s="9"/>
      <c r="D80" s="9">
        <v>17</v>
      </c>
      <c r="E80" s="9" t="s">
        <v>32</v>
      </c>
      <c r="F80" s="9"/>
    </row>
    <row r="81" spans="1:6">
      <c r="A81" s="9"/>
      <c r="B81" s="9"/>
      <c r="C81" s="9"/>
      <c r="D81" s="9">
        <v>18</v>
      </c>
      <c r="E81" s="9" t="s">
        <v>34</v>
      </c>
      <c r="F81" s="9"/>
    </row>
    <row r="82" spans="1:6">
      <c r="A82" s="9"/>
      <c r="B82" s="9"/>
      <c r="C82" s="9"/>
      <c r="D82" s="9">
        <v>19</v>
      </c>
      <c r="E82" s="9" t="s">
        <v>36</v>
      </c>
      <c r="F82" s="9"/>
    </row>
    <row r="83" spans="1:6">
      <c r="A83" s="9"/>
      <c r="B83" s="9"/>
      <c r="C83" s="9"/>
      <c r="D83" s="9">
        <v>20</v>
      </c>
      <c r="E83" s="9" t="s">
        <v>38</v>
      </c>
      <c r="F83" s="9"/>
    </row>
    <row r="84" spans="1:6">
      <c r="A84" s="9"/>
      <c r="B84" s="9"/>
      <c r="C84" s="9"/>
      <c r="D84" s="9">
        <v>21</v>
      </c>
      <c r="E84" s="9" t="s">
        <v>40</v>
      </c>
      <c r="F84" s="9"/>
    </row>
    <row r="85" spans="1:6">
      <c r="A85" s="9"/>
      <c r="B85" s="9"/>
      <c r="C85" s="9"/>
      <c r="D85" s="9"/>
      <c r="E85" s="9" t="s">
        <v>42</v>
      </c>
      <c r="F85" s="9"/>
    </row>
    <row r="86" spans="1:6">
      <c r="A86" s="9"/>
      <c r="B86" s="9"/>
      <c r="C86" s="9"/>
      <c r="D86" s="9"/>
      <c r="E86" s="9" t="s">
        <v>44</v>
      </c>
      <c r="F86" s="9"/>
    </row>
    <row r="87" spans="1:6">
      <c r="A87" s="9"/>
      <c r="B87" s="9"/>
      <c r="C87" s="9"/>
      <c r="D87" s="9"/>
      <c r="E87" s="9" t="s">
        <v>46</v>
      </c>
      <c r="F87" s="9"/>
    </row>
    <row r="88" spans="1:6">
      <c r="A88" s="9"/>
      <c r="B88" s="9"/>
      <c r="C88" s="9"/>
      <c r="D88" s="9"/>
      <c r="E88" s="9" t="s">
        <v>48</v>
      </c>
      <c r="F88" s="9"/>
    </row>
    <row r="89" spans="1:6">
      <c r="A89" s="9"/>
      <c r="B89" s="9"/>
      <c r="C89" s="9"/>
      <c r="D89" s="9"/>
      <c r="E89" s="9" t="s">
        <v>50</v>
      </c>
      <c r="F89" s="9"/>
    </row>
    <row r="90" spans="1:6">
      <c r="A90" s="9"/>
      <c r="B90" s="9"/>
      <c r="C90" s="9"/>
      <c r="D90" s="9"/>
      <c r="E90" s="9" t="s">
        <v>52</v>
      </c>
      <c r="F90" s="9"/>
    </row>
    <row r="91" spans="1:6">
      <c r="A91" s="9"/>
      <c r="B91" s="9"/>
      <c r="C91" s="9"/>
      <c r="D91" s="9"/>
      <c r="E91" s="9" t="s">
        <v>54</v>
      </c>
      <c r="F91" s="9"/>
    </row>
    <row r="92" spans="1:6">
      <c r="A92" s="9"/>
      <c r="B92" s="9"/>
      <c r="C92" s="9"/>
      <c r="D92" s="9"/>
      <c r="E92" s="9" t="s">
        <v>56</v>
      </c>
      <c r="F92" s="9"/>
    </row>
    <row r="93" spans="1:6">
      <c r="A93" s="9"/>
      <c r="B93" s="9"/>
      <c r="C93" s="9"/>
      <c r="D93" s="9"/>
      <c r="E93" s="9" t="s">
        <v>58</v>
      </c>
      <c r="F93" s="9"/>
    </row>
    <row r="94" spans="1:6">
      <c r="A94" s="9"/>
      <c r="B94" s="9"/>
      <c r="C94" s="9"/>
      <c r="D94" s="9"/>
      <c r="E94" s="9" t="s">
        <v>60</v>
      </c>
      <c r="F94" s="9"/>
    </row>
    <row r="95" spans="1:6">
      <c r="A95" s="9"/>
      <c r="B95" s="9"/>
      <c r="C95" s="9"/>
      <c r="D95" s="9"/>
      <c r="E95" s="9" t="s">
        <v>62</v>
      </c>
      <c r="F95" s="9"/>
    </row>
    <row r="96" spans="1:6">
      <c r="A96" s="9"/>
      <c r="B96" s="9"/>
      <c r="C96" s="9"/>
      <c r="D96" s="9"/>
      <c r="E96" s="9" t="s">
        <v>64</v>
      </c>
      <c r="F96" s="9"/>
    </row>
    <row r="97" spans="1:6">
      <c r="A97" s="9"/>
      <c r="B97" s="9"/>
      <c r="C97" s="9"/>
      <c r="D97" s="9"/>
      <c r="E97" s="9" t="s">
        <v>66</v>
      </c>
      <c r="F97" s="9"/>
    </row>
    <row r="98" spans="1:6">
      <c r="A98" s="9"/>
      <c r="B98" s="9"/>
      <c r="C98" s="9"/>
      <c r="D98" s="9"/>
      <c r="E98" s="9" t="s">
        <v>68</v>
      </c>
      <c r="F98" s="9"/>
    </row>
    <row r="99" spans="1:6">
      <c r="A99" s="9"/>
      <c r="B99" s="9"/>
      <c r="C99" s="9"/>
      <c r="D99" s="9"/>
      <c r="E99" s="9"/>
      <c r="F99" s="9"/>
    </row>
    <row r="100" spans="1:6">
      <c r="A100" s="9"/>
      <c r="B100" s="9"/>
      <c r="C100" s="9"/>
      <c r="D100" s="9"/>
      <c r="E100" s="9"/>
      <c r="F100" s="9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1"/>
  <sheetViews>
    <sheetView workbookViewId="0"/>
  </sheetViews>
  <sheetFormatPr defaultColWidth="9" defaultRowHeight="15"/>
  <cols>
    <col min="1" max="1" width="23.7109375" style="1" customWidth="1"/>
    <col min="2" max="16384" width="9" style="1"/>
  </cols>
  <sheetData>
    <row r="1" spans="1:1">
      <c r="A1" s="2" t="s">
        <v>90</v>
      </c>
    </row>
    <row r="2" spans="1:1">
      <c r="A2" s="3" t="str">
        <f>IF('CRIA OBJETOS'!B3=""," ",CONCATENATE("config router static"))</f>
        <v xml:space="preserve"> </v>
      </c>
    </row>
    <row r="3" spans="1:1">
      <c r="A3" s="3" t="str">
        <f>IF('CRIA OBJETOS'!B3=""," ",CONCATENATE("edit 0"))</f>
        <v xml:space="preserve"> </v>
      </c>
    </row>
    <row r="4" spans="1:1">
      <c r="A4" s="3" t="str">
        <f>IF('CRIA OBJETOS'!B3=""," ",CONCATENATE("set dst ",'CRIA OBJETOS'!B3))</f>
        <v xml:space="preserve"> </v>
      </c>
    </row>
    <row r="5" spans="1:1">
      <c r="A5" s="3" t="str">
        <f>IF('CRIA OBJETOS'!B3=""," ",CONCATENATE("set device ",'CRIA FASE 1'!B2))</f>
        <v xml:space="preserve"> </v>
      </c>
    </row>
    <row r="6" spans="1:1">
      <c r="A6" s="3" t="str">
        <f>IF('CRIA OBJETOS'!B3=""," ",CONCATENATE("set comment ",'CRIA FASE 1'!B2))</f>
        <v xml:space="preserve"> </v>
      </c>
    </row>
    <row r="7" spans="1:1">
      <c r="A7" s="3" t="str">
        <f>IF('CRIA OBJETOS'!B3=""," ",CONCATENATE("end"))</f>
        <v xml:space="preserve"> </v>
      </c>
    </row>
    <row r="8" spans="1:1">
      <c r="A8" s="3" t="str">
        <f>IF('CRIA OBJETOS'!B4=""," ",CONCATENATE("config router static"))</f>
        <v xml:space="preserve"> </v>
      </c>
    </row>
    <row r="9" spans="1:1">
      <c r="A9" s="3" t="str">
        <f>IF('CRIA OBJETOS'!B4=""," ",CONCATENATE("edit 0"))</f>
        <v xml:space="preserve"> </v>
      </c>
    </row>
    <row r="10" spans="1:1">
      <c r="A10" s="3" t="str">
        <f>IF('CRIA OBJETOS'!B4=""," ",CONCATENATE("set dst ",'CRIA OBJETOS'!B4))</f>
        <v xml:space="preserve"> </v>
      </c>
    </row>
    <row r="11" spans="1:1">
      <c r="A11" s="3" t="str">
        <f>IF('CRIA OBJETOS'!B4=""," ",CONCATENATE("set device ",'CRIA FASE 1'!B2))</f>
        <v xml:space="preserve"> </v>
      </c>
    </row>
    <row r="12" spans="1:1">
      <c r="A12" s="3" t="str">
        <f>IF('CRIA OBJETOS'!B4=""," ",CONCATENATE("set comment ",'CRIA FASE 1'!B2))</f>
        <v xml:space="preserve"> </v>
      </c>
    </row>
    <row r="13" spans="1:1">
      <c r="A13" s="3" t="str">
        <f>IF('CRIA OBJETOS'!B4=""," ",CONCATENATE("end"))</f>
        <v xml:space="preserve"> </v>
      </c>
    </row>
    <row r="14" spans="1:1">
      <c r="A14" s="3" t="str">
        <f>IF('CRIA OBJETOS'!B5=""," ",CONCATENATE("config router static"))</f>
        <v xml:space="preserve"> </v>
      </c>
    </row>
    <row r="15" spans="1:1">
      <c r="A15" s="3" t="str">
        <f>IF('CRIA OBJETOS'!B5=""," ",CONCATENATE("edit 0"))</f>
        <v xml:space="preserve"> </v>
      </c>
    </row>
    <row r="16" spans="1:1">
      <c r="A16" s="3" t="str">
        <f>IF('CRIA OBJETOS'!B5=""," ",CONCATENATE("set dst ",'CRIA OBJETOS'!B5))</f>
        <v xml:space="preserve"> </v>
      </c>
    </row>
    <row r="17" spans="1:1">
      <c r="A17" s="3" t="str">
        <f>IF('CRIA OBJETOS'!B5=""," ",CONCATENATE("set device ",'CRIA FASE 1'!B2))</f>
        <v xml:space="preserve"> </v>
      </c>
    </row>
    <row r="18" spans="1:1">
      <c r="A18" s="3" t="str">
        <f>IF('CRIA OBJETOS'!B5=""," ",CONCATENATE("set comment ",'CRIA FASE 1'!B2))</f>
        <v xml:space="preserve"> </v>
      </c>
    </row>
    <row r="19" spans="1:1">
      <c r="A19" s="3" t="str">
        <f>IF('CRIA OBJETOS'!B5=""," ",CONCATENATE("end"))</f>
        <v xml:space="preserve"> </v>
      </c>
    </row>
    <row r="20" spans="1:1">
      <c r="A20" s="3" t="str">
        <f>IF('CRIA OBJETOS'!B6=""," ",CONCATENATE("config router static"))</f>
        <v xml:space="preserve"> </v>
      </c>
    </row>
    <row r="21" spans="1:1">
      <c r="A21" s="3" t="str">
        <f>IF('CRIA OBJETOS'!B6=""," ",CONCATENATE("edit 0"))</f>
        <v xml:space="preserve"> </v>
      </c>
    </row>
    <row r="22" spans="1:1">
      <c r="A22" s="3" t="str">
        <f>IF('CRIA OBJETOS'!B6=""," ",CONCATENATE("set dst ",'CRIA OBJETOS'!B6))</f>
        <v xml:space="preserve"> </v>
      </c>
    </row>
    <row r="23" spans="1:1">
      <c r="A23" s="3" t="str">
        <f>IF('CRIA OBJETOS'!B6=""," ",CONCATENATE("set device ",'CRIA FASE 1'!B2))</f>
        <v xml:space="preserve"> </v>
      </c>
    </row>
    <row r="24" spans="1:1">
      <c r="A24" s="3" t="str">
        <f>IF('CRIA OBJETOS'!B6=""," ",CONCATENATE("set comment ",'CRIA FASE 1'!B2))</f>
        <v xml:space="preserve"> </v>
      </c>
    </row>
    <row r="25" spans="1:1">
      <c r="A25" s="3" t="str">
        <f>IF('CRIA OBJETOS'!B6=""," ",CONCATENATE("end"))</f>
        <v xml:space="preserve"> </v>
      </c>
    </row>
    <row r="26" spans="1:1">
      <c r="A26" s="3" t="str">
        <f>IF('CRIA OBJETOS'!B7=""," ",CONCATENATE("config router static"))</f>
        <v xml:space="preserve"> </v>
      </c>
    </row>
    <row r="27" spans="1:1">
      <c r="A27" s="3" t="str">
        <f>IF('CRIA OBJETOS'!B7=""," ",CONCATENATE("edit 0"))</f>
        <v xml:space="preserve"> </v>
      </c>
    </row>
    <row r="28" spans="1:1">
      <c r="A28" s="3" t="str">
        <f>IF('CRIA OBJETOS'!B7=""," ",CONCATENATE("set dst ",'CRIA OBJETOS'!B7))</f>
        <v xml:space="preserve"> </v>
      </c>
    </row>
    <row r="29" spans="1:1">
      <c r="A29" s="3" t="str">
        <f>IF('CRIA OBJETOS'!B7=""," ",CONCATENATE("set device ",'CRIA FASE 1'!B2))</f>
        <v xml:space="preserve"> </v>
      </c>
    </row>
    <row r="30" spans="1:1">
      <c r="A30" s="3" t="str">
        <f>IF('CRIA OBJETOS'!B7=""," ",CONCATENATE("set comment ",'CRIA FASE 1'!B2))</f>
        <v xml:space="preserve"> </v>
      </c>
    </row>
    <row r="31" spans="1:1">
      <c r="A31" s="3" t="str">
        <f>IF('CRIA OBJETOS'!B7=""," ",CONCATENATE("end"))</f>
        <v xml:space="preserve"> </v>
      </c>
    </row>
    <row r="32" spans="1:1">
      <c r="A32" s="3" t="str">
        <f>IF('CRIA OBJETOS'!B8=""," ",CONCATENATE("config router static"))</f>
        <v xml:space="preserve"> </v>
      </c>
    </row>
    <row r="33" spans="1:1">
      <c r="A33" s="3" t="str">
        <f>IF('CRIA OBJETOS'!B8=""," ",CONCATENATE("edit 0"))</f>
        <v xml:space="preserve"> </v>
      </c>
    </row>
    <row r="34" spans="1:1">
      <c r="A34" s="3" t="str">
        <f>IF('CRIA OBJETOS'!B8=""," ",CONCATENATE("set dst ",'CRIA OBJETOS'!B8))</f>
        <v xml:space="preserve"> </v>
      </c>
    </row>
    <row r="35" spans="1:1">
      <c r="A35" s="3" t="str">
        <f>IF('CRIA OBJETOS'!B8=""," ",CONCATENATE("set device ",'CRIA FASE 1'!B2))</f>
        <v xml:space="preserve"> </v>
      </c>
    </row>
    <row r="36" spans="1:1">
      <c r="A36" s="3" t="str">
        <f>IF('CRIA OBJETOS'!B8=""," ",CONCATENATE("set comment ",'CRIA FASE 1'!B2))</f>
        <v xml:space="preserve"> </v>
      </c>
    </row>
    <row r="37" spans="1:1">
      <c r="A37" s="3" t="str">
        <f>IF('CRIA OBJETOS'!B8=""," ",CONCATENATE("end"))</f>
        <v xml:space="preserve"> </v>
      </c>
    </row>
    <row r="38" spans="1:1">
      <c r="A38" s="3" t="str">
        <f>IF('CRIA OBJETOS'!B9=""," ",CONCATENATE("config router static"))</f>
        <v xml:space="preserve"> </v>
      </c>
    </row>
    <row r="39" spans="1:1">
      <c r="A39" s="3" t="str">
        <f>IF('CRIA OBJETOS'!B9=""," ",CONCATENATE("edit 0"))</f>
        <v xml:space="preserve"> </v>
      </c>
    </row>
    <row r="40" spans="1:1">
      <c r="A40" s="3" t="str">
        <f>IF('CRIA OBJETOS'!B9=""," ",CONCATENATE("set dst ",'CRIA OBJETOS'!B9))</f>
        <v xml:space="preserve"> </v>
      </c>
    </row>
    <row r="41" spans="1:1">
      <c r="A41" s="3" t="str">
        <f>IF('CRIA OBJETOS'!B9=""," ",CONCATENATE("set device ",'CRIA FASE 1'!B2))</f>
        <v xml:space="preserve"> </v>
      </c>
    </row>
    <row r="42" spans="1:1">
      <c r="A42" s="3" t="str">
        <f>IF('CRIA OBJETOS'!B9=""," ",CONCATENATE("set comment ",'CRIA FASE 1'!B2))</f>
        <v xml:space="preserve"> </v>
      </c>
    </row>
    <row r="43" spans="1:1">
      <c r="A43" s="3" t="str">
        <f>IF('CRIA OBJETOS'!B9=""," ",CONCATENATE("end"))</f>
        <v xml:space="preserve"> </v>
      </c>
    </row>
    <row r="44" spans="1:1">
      <c r="A44" s="3" t="str">
        <f>IF('CRIA OBJETOS'!B10=""," ",CONCATENATE("config router static"))</f>
        <v xml:space="preserve"> </v>
      </c>
    </row>
    <row r="45" spans="1:1">
      <c r="A45" s="3" t="str">
        <f>IF('CRIA OBJETOS'!B10=""," ",CONCATENATE("edit 0"))</f>
        <v xml:space="preserve"> </v>
      </c>
    </row>
    <row r="46" spans="1:1">
      <c r="A46" s="3" t="str">
        <f>IF('CRIA OBJETOS'!B10=""," ",CONCATENATE("set dst ",'CRIA OBJETOS'!B10))</f>
        <v xml:space="preserve"> </v>
      </c>
    </row>
    <row r="47" spans="1:1">
      <c r="A47" s="3" t="str">
        <f>IF('CRIA OBJETOS'!B10=""," ",CONCATENATE("set device ",'CRIA FASE 1'!B2))</f>
        <v xml:space="preserve"> </v>
      </c>
    </row>
    <row r="48" spans="1:1">
      <c r="A48" s="3" t="str">
        <f>IF('CRIA OBJETOS'!B10=""," ",CONCATENATE("set comment ",'CRIA FASE 1'!B2))</f>
        <v xml:space="preserve"> </v>
      </c>
    </row>
    <row r="49" spans="1:1">
      <c r="A49" s="3" t="str">
        <f>IF('CRIA OBJETOS'!B10=""," ",CONCATENATE("end"))</f>
        <v xml:space="preserve"> </v>
      </c>
    </row>
    <row r="50" spans="1:1">
      <c r="A50" s="3" t="str">
        <f>IF('CRIA OBJETOS'!B11=""," ",CONCATENATE("config router static"))</f>
        <v xml:space="preserve"> </v>
      </c>
    </row>
    <row r="51" spans="1:1">
      <c r="A51" s="3" t="str">
        <f>IF('CRIA OBJETOS'!B11=""," ",CONCATENATE("edit 0"))</f>
        <v xml:space="preserve"> </v>
      </c>
    </row>
    <row r="52" spans="1:1">
      <c r="A52" s="3" t="str">
        <f>IF('CRIA OBJETOS'!B11=""," ",CONCATENATE("set dst ",'CRIA OBJETOS'!B11))</f>
        <v xml:space="preserve"> </v>
      </c>
    </row>
    <row r="53" spans="1:1">
      <c r="A53" s="3" t="str">
        <f>IF('CRIA OBJETOS'!B11=""," ",CONCATENATE("set device ",'CRIA FASE 1'!B2))</f>
        <v xml:space="preserve"> </v>
      </c>
    </row>
    <row r="54" spans="1:1">
      <c r="A54" s="3" t="str">
        <f>IF('CRIA OBJETOS'!B11=""," ",CONCATENATE("set comment ",'CRIA FASE 1'!B2))</f>
        <v xml:space="preserve"> </v>
      </c>
    </row>
    <row r="55" spans="1:1">
      <c r="A55" s="3" t="str">
        <f>IF('CRIA OBJETOS'!B11=""," ",CONCATENATE("end"))</f>
        <v xml:space="preserve"> </v>
      </c>
    </row>
    <row r="56" spans="1:1">
      <c r="A56" s="3" t="str">
        <f>IF('CRIA OBJETOS'!B12=""," ",CONCATENATE("config router static"))</f>
        <v xml:space="preserve"> </v>
      </c>
    </row>
    <row r="57" spans="1:1">
      <c r="A57" s="3" t="str">
        <f>IF('CRIA OBJETOS'!B12=""," ",CONCATENATE("edit 0"))</f>
        <v xml:space="preserve"> </v>
      </c>
    </row>
    <row r="58" spans="1:1">
      <c r="A58" s="3" t="str">
        <f>IF('CRIA OBJETOS'!B12=""," ",CONCATENATE("set dst ",'CRIA OBJETOS'!B12))</f>
        <v xml:space="preserve"> </v>
      </c>
    </row>
    <row r="59" spans="1:1">
      <c r="A59" s="3" t="str">
        <f>IF('CRIA OBJETOS'!B12=""," ",CONCATENATE("set device ",'CRIA FASE 1'!B2))</f>
        <v xml:space="preserve"> </v>
      </c>
    </row>
    <row r="60" spans="1:1">
      <c r="A60" s="3" t="str">
        <f>IF('CRIA OBJETOS'!B12=""," ",CONCATENATE("set comment ",'CRIA FASE 1'!B2))</f>
        <v xml:space="preserve"> </v>
      </c>
    </row>
    <row r="61" spans="1:1">
      <c r="A61" s="4" t="str">
        <f>IF('CRIA OBJETOS'!B12=""," ",CONCATENATE("end"))</f>
        <v xml:space="preserve"> </v>
      </c>
    </row>
  </sheetData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CRIA FASE 1</vt:lpstr>
      <vt:lpstr>CRIA OBJETOS</vt:lpstr>
      <vt:lpstr>CRIA FASE 2</vt:lpstr>
      <vt:lpstr>CRIA ROTAS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</dc:creator>
  <cp:lastModifiedBy>Alex Pires Ferreira</cp:lastModifiedBy>
  <dcterms:created xsi:type="dcterms:W3CDTF">2019-01-13T07:36:00Z</dcterms:created>
  <dcterms:modified xsi:type="dcterms:W3CDTF">2026-06-11T20:45:49Z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1033-10.1.0.6634</vt:lpwstr>
  </property>
</Properties>
</file>